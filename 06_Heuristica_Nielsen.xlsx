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valuacion" sheetId="2" r:id="rId6"/>
    <sheet state="visible" name="Resumen" sheetId="3" r:id="rId7"/>
    <sheet state="visible" name="Referencia" sheetId="4" r:id="rId8"/>
    <sheet state="hidden" name="Hoja 1" sheetId="5" r:id="rId9"/>
  </sheets>
  <definedNames/>
  <calcPr/>
</workbook>
</file>

<file path=xl/sharedStrings.xml><?xml version="1.0" encoding="utf-8"?>
<sst xmlns="http://schemas.openxmlformats.org/spreadsheetml/2006/main" count="189" uniqueCount="143">
  <si>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</si>
  <si>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</si>
  <si>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</si>
  <si>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</si>
  <si>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</si>
  <si>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</si>
  <si>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</si>
  <si>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</si>
  <si>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</si>
  <si>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</si>
  <si>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</si>
  <si>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</si>
  <si>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</si>
  <si>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</si>
  <si>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</si>
  <si>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</si>
  <si>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</si>
  <si>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</si>
  <si>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</si>
  <si>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</si>
  <si>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</si>
  <si>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</si>
  <si>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</si>
  <si>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</si>
  <si>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</si>
  <si>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</si>
  <si>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</si>
  <si>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</si>
  <si>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</si>
  <si>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</si>
  <si>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</si>
  <si>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H5 - Prevencion de errores</t>
  </si>
  <si>
    <t>El sistema permite registrar correos electrónicos ya existentes.</t>
  </si>
  <si>
    <t>Pantalla Crear Usuario</t>
  </si>
  <si>
    <t>https://docs.google.com/document/d/15VoiTwfEFQXAAJ391iAHDeQcLpgqRWpz7HaVQ934evE/edit?usp=sharing</t>
  </si>
  <si>
    <t>Validar la unicidad del correo antes de guardar el registro.</t>
  </si>
  <si>
    <t>Felipe Martínez/Vicente Chávez</t>
  </si>
  <si>
    <t>El sistema permite registrar números telefónicos duplicados.</t>
  </si>
  <si>
    <t>Verificar que el número no exista previamente en la base de datos.</t>
  </si>
  <si>
    <t>Se permite asignar un propietario a un departamento que ya posee uno registrado.</t>
  </si>
  <si>
    <t>Restringir asignaciones duplicadas y mostrar mensaje de advertencia.</t>
  </si>
  <si>
    <t>Se permite asignar un arrendatario a un departamento que ya tiene arrendatario registrado.</t>
  </si>
  <si>
    <t>Validar disponibilidad del departamento antes de completar el registro.</t>
  </si>
  <si>
    <t>El sistema permite registrar usuarios con datos previamente existentes.</t>
  </si>
  <si>
    <t xml:space="preserve">
Pantalla Crear Usuario
</t>
  </si>
  <si>
    <t>Implementar controles de duplicidad para los datos principales del usuario.</t>
  </si>
  <si>
    <t>El formulario permite guardar registros con campos obligatorios vacíos.</t>
  </si>
  <si>
    <t>Pantalla Editar Residente</t>
  </si>
  <si>
    <t>Implementar validaciones obligatorias y resaltar los campos faltantes.</t>
  </si>
  <si>
    <t>Es posible configurar medios de notificación sin contar con la información requerida.</t>
  </si>
  <si>
    <t>Configuración de Notificaciones</t>
  </si>
  <si>
    <t>Solicitar los datos mínimos necesarios antes de habilitar la configuración.</t>
  </si>
  <si>
    <t>H3 - Control y libertad</t>
  </si>
  <si>
    <t>El usuario debe poder cancelar el registro y volver a la pantalla anterior sin guardar cambios.</t>
  </si>
  <si>
    <t>Pantalla Registro Usuario</t>
  </si>
  <si>
    <t>Incorporar botón "Cancelar" con retorno seguro y confirmación opcional.</t>
  </si>
  <si>
    <t>H1 - Visibilidad del estado</t>
  </si>
  <si>
    <t>El usuario requiere visualizar claramente el estado actualizado de sus solicitudes de mantenimiento.</t>
  </si>
  <si>
    <t>Módulo Solicitudes</t>
  </si>
  <si>
    <t>Mostrar estados visibles como Pendiente, En Proceso y Finalizada.</t>
  </si>
  <si>
    <t>Las notificaciones deben ser visibles y actualizarse oportunamente para el usuario.</t>
  </si>
  <si>
    <t>Centro de Notificaciones</t>
  </si>
  <si>
    <t>Implementar alertas visuales y actualización automática de notificaciones.</t>
  </si>
  <si>
    <t>El envío exitoso de una solicitud debe informar claramente el resultado de la acción.</t>
  </si>
  <si>
    <t>Nueva Solicitud de Mantenimiento</t>
  </si>
  <si>
    <t>Mostrar mensaje de confirmación indicando que la solicitud fue registrada correctamente.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</si>
  <si>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</si>
  <si>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</si>
  <si>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</si>
  <si>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</si>
  <si>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</si>
  <si>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</si>
  <si>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</si>
  <si>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</si>
  <si>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</si>
  <si>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</si>
  <si>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</si>
  <si>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</si>
  <si>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</si>
  <si>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</si>
  <si>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H2 - Sistema y mundo real</t>
  </si>
  <si>
    <t>H4 - Consistencia y estandares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</si>
  <si>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</si>
  <si>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</si>
  <si>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</si>
  <si>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</si>
  <si>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</si>
  <si>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</si>
  <si>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</si>
  <si>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</si>
  <si>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</si>
  <si>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</si>
  <si>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</si>
  <si>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</si>
  <si>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</si>
  <si>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</si>
  <si>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</si>
  <si>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</si>
  <si>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</si>
  <si>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</si>
  <si>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</si>
  <si>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</si>
  <si>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</si>
  <si>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</si>
  <si>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</si>
  <si>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</si>
  <si>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</si>
  <si>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</si>
  <si>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</si>
  <si>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</si>
  <si>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</si>
  <si>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</si>
  <si>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</si>
  <si>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</si>
  <si>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</si>
  <si>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</si>
  <si>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</si>
  <si>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</si>
  <si>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</si>
  <si>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</si>
  <si>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</si>
  <si>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</si>
  <si>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</si>
  <si>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</si>
  <si>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</si>
  <si>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</si>
  <si>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</si>
  <si>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</si>
  <si>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</si>
  <si>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</si>
  <si>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</si>
  <si>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</si>
  <si>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</si>
  <si>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</si>
  <si>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</si>
  <si>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</si>
  <si>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</si>
  <si>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</si>
  <si>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</si>
  <si>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</si>
  <si>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</si>
  <si>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</si>
  <si>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H8 - Diseño minimalista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</si>
</sst>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0000FF"/>
      <name val="Arial"/>
    </font>
    <font>
      <color theme="1"/>
      <name val="Calibri"/>
      <scheme val="minor"/>
    </font>
    <font>
      <u/>
      <sz val="10.0"/>
      <color rgb="FF0000FF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8" fillId="4" fontId="7" numFmtId="0" xfId="0" applyAlignment="1" applyBorder="1" applyFont="1">
      <alignment horizontal="center" readingOrder="0" shrinkToFit="0" vertical="center" wrapText="1"/>
    </xf>
    <xf borderId="8" fillId="4" fontId="13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7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4" fontId="17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VoiTwfEFQXAAJ391iAHDeQcLpgqRWpz7HaVQ934evE/edit?usp=sharing" TargetMode="External"/><Relationship Id="rId2" Type="http://schemas.openxmlformats.org/officeDocument/2006/relationships/hyperlink" Target="https://docs.google.com/document/d/15VoiTwfEFQXAAJ391iAHDeQcLpgqRWpz7HaVQ934evE/edit?usp=sharing" TargetMode="External"/><Relationship Id="rId3" Type="http://schemas.openxmlformats.org/officeDocument/2006/relationships/hyperlink" Target="https://docs.google.com/document/d/15VoiTwfEFQXAAJ391iAHDeQcLpgqRWpz7HaVQ934evE/edit?usp=sharing" TargetMode="External"/><Relationship Id="rId4" Type="http://schemas.openxmlformats.org/officeDocument/2006/relationships/hyperlink" Target="https://docs.google.com/document/d/15VoiTwfEFQXAAJ391iAHDeQcLpgqRWpz7HaVQ934evE/edit?usp=sharing" TargetMode="External"/><Relationship Id="rId11" Type="http://schemas.openxmlformats.org/officeDocument/2006/relationships/hyperlink" Target="https://docs.google.com/document/d/15VoiTwfEFQXAAJ391iAHDeQcLpgqRWpz7HaVQ934evE/edit?usp=sharing" TargetMode="External"/><Relationship Id="rId10" Type="http://schemas.openxmlformats.org/officeDocument/2006/relationships/hyperlink" Target="https://docs.google.com/document/d/15VoiTwfEFQXAAJ391iAHDeQcLpgqRWpz7HaVQ934evE/edit?usp=shari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ocs.google.com/document/d/15VoiTwfEFQXAAJ391iAHDeQcLpgqRWpz7HaVQ934evE/edit?usp=sharing" TargetMode="External"/><Relationship Id="rId5" Type="http://schemas.openxmlformats.org/officeDocument/2006/relationships/hyperlink" Target="https://docs.google.com/document/d/15VoiTwfEFQXAAJ391iAHDeQcLpgqRWpz7HaVQ934evE/edit?usp=sharing" TargetMode="External"/><Relationship Id="rId6" Type="http://schemas.openxmlformats.org/officeDocument/2006/relationships/hyperlink" Target="https://docs.google.com/document/d/15VoiTwfEFQXAAJ391iAHDeQcLpgqRWpz7HaVQ934evE/edit?usp=sharing" TargetMode="External"/><Relationship Id="rId7" Type="http://schemas.openxmlformats.org/officeDocument/2006/relationships/hyperlink" Target="https://docs.google.com/document/d/15VoiTwfEFQXAAJ391iAHDeQcLpgqRWpz7HaVQ934evE/edit?usp=sharing" TargetMode="External"/><Relationship Id="rId8" Type="http://schemas.openxmlformats.org/officeDocument/2006/relationships/hyperlink" Target="https://docs.google.com/document/d/15VoiTwfEFQXAAJ391iAHDeQcLpgqRWpz7HaVQ934evE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86"/>
  </cols>
  <sheetData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86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 t="s">
        <v>34</v>
      </c>
      <c r="G4" s="15" t="s">
        <v>35</v>
      </c>
      <c r="H4" s="15" t="s">
        <v>36</v>
      </c>
    </row>
    <row r="5" ht="42.0" customHeight="1">
      <c r="A5" s="18">
        <v>2.0</v>
      </c>
      <c r="B5" s="19" t="s">
        <v>31</v>
      </c>
      <c r="C5" s="19" t="s">
        <v>37</v>
      </c>
      <c r="D5" s="20" t="s">
        <v>33</v>
      </c>
      <c r="E5" s="21">
        <v>3.0</v>
      </c>
      <c r="F5" s="22" t="s">
        <v>34</v>
      </c>
      <c r="G5" s="19" t="s">
        <v>38</v>
      </c>
      <c r="H5" s="19" t="s">
        <v>36</v>
      </c>
    </row>
    <row r="6" ht="42.0" customHeight="1">
      <c r="A6" s="14">
        <v>3.0</v>
      </c>
      <c r="B6" s="15" t="s">
        <v>31</v>
      </c>
      <c r="C6" s="15" t="s">
        <v>39</v>
      </c>
      <c r="D6" s="15" t="s">
        <v>33</v>
      </c>
      <c r="E6" s="16">
        <v>4.0</v>
      </c>
      <c r="F6" s="17" t="s">
        <v>34</v>
      </c>
      <c r="G6" s="15" t="s">
        <v>40</v>
      </c>
      <c r="H6" s="15" t="s">
        <v>36</v>
      </c>
    </row>
    <row r="7" ht="42.0" customHeight="1">
      <c r="A7" s="18">
        <v>4.0</v>
      </c>
      <c r="B7" s="19" t="s">
        <v>31</v>
      </c>
      <c r="C7" s="19" t="s">
        <v>41</v>
      </c>
      <c r="D7" s="19" t="s">
        <v>33</v>
      </c>
      <c r="E7" s="21">
        <v>4.0</v>
      </c>
      <c r="F7" s="22" t="s">
        <v>34</v>
      </c>
      <c r="G7" s="19" t="s">
        <v>42</v>
      </c>
      <c r="H7" s="19" t="s">
        <v>36</v>
      </c>
    </row>
    <row r="8" ht="42.0" customHeight="1">
      <c r="A8" s="14">
        <v>5.0</v>
      </c>
      <c r="B8" s="15" t="s">
        <v>31</v>
      </c>
      <c r="C8" s="15" t="s">
        <v>43</v>
      </c>
      <c r="D8" s="15" t="s">
        <v>44</v>
      </c>
      <c r="E8" s="16">
        <v>3.0</v>
      </c>
      <c r="F8" s="17" t="s">
        <v>34</v>
      </c>
      <c r="G8" s="15" t="s">
        <v>45</v>
      </c>
      <c r="H8" s="15" t="s">
        <v>36</v>
      </c>
    </row>
    <row r="9" ht="42.0" customHeight="1">
      <c r="A9" s="18">
        <v>6.0</v>
      </c>
      <c r="B9" s="19" t="s">
        <v>31</v>
      </c>
      <c r="C9" s="19" t="s">
        <v>46</v>
      </c>
      <c r="D9" s="19" t="s">
        <v>47</v>
      </c>
      <c r="E9" s="21">
        <v>4.0</v>
      </c>
      <c r="F9" s="22" t="s">
        <v>34</v>
      </c>
      <c r="G9" s="19" t="s">
        <v>48</v>
      </c>
      <c r="H9" s="19" t="s">
        <v>36</v>
      </c>
    </row>
    <row r="10" ht="42.0" customHeight="1">
      <c r="A10" s="14">
        <v>7.0</v>
      </c>
      <c r="B10" s="15" t="s">
        <v>31</v>
      </c>
      <c r="C10" s="15" t="s">
        <v>49</v>
      </c>
      <c r="D10" s="15" t="s">
        <v>50</v>
      </c>
      <c r="E10" s="16">
        <v>3.0</v>
      </c>
      <c r="F10" s="17" t="s">
        <v>34</v>
      </c>
      <c r="G10" s="15" t="s">
        <v>51</v>
      </c>
      <c r="H10" s="15" t="s">
        <v>36</v>
      </c>
    </row>
    <row r="11" ht="42.0" customHeight="1">
      <c r="A11" s="18">
        <v>8.0</v>
      </c>
      <c r="B11" s="19" t="s">
        <v>52</v>
      </c>
      <c r="C11" s="19" t="s">
        <v>53</v>
      </c>
      <c r="D11" s="19" t="s">
        <v>54</v>
      </c>
      <c r="E11" s="21">
        <v>2.0</v>
      </c>
      <c r="F11" s="22" t="s">
        <v>34</v>
      </c>
      <c r="G11" s="19" t="s">
        <v>55</v>
      </c>
      <c r="H11" s="19" t="s">
        <v>36</v>
      </c>
    </row>
    <row r="12" ht="42.0" customHeight="1">
      <c r="A12" s="14">
        <v>9.0</v>
      </c>
      <c r="B12" s="15" t="s">
        <v>56</v>
      </c>
      <c r="C12" s="15" t="s">
        <v>57</v>
      </c>
      <c r="D12" s="15" t="s">
        <v>58</v>
      </c>
      <c r="E12" s="16">
        <v>2.0</v>
      </c>
      <c r="F12" s="17" t="s">
        <v>34</v>
      </c>
      <c r="G12" s="15" t="s">
        <v>59</v>
      </c>
      <c r="H12" s="15" t="s">
        <v>36</v>
      </c>
    </row>
    <row r="13" ht="42.0" customHeight="1">
      <c r="A13" s="18">
        <v>10.0</v>
      </c>
      <c r="B13" s="19" t="s">
        <v>56</v>
      </c>
      <c r="C13" s="19" t="s">
        <v>60</v>
      </c>
      <c r="D13" s="19" t="s">
        <v>61</v>
      </c>
      <c r="E13" s="21">
        <v>2.0</v>
      </c>
      <c r="F13" s="22" t="s">
        <v>34</v>
      </c>
      <c r="G13" s="19" t="s">
        <v>62</v>
      </c>
      <c r="H13" s="19" t="s">
        <v>36</v>
      </c>
    </row>
    <row r="14" ht="42.0" customHeight="1">
      <c r="A14" s="14">
        <v>11.0</v>
      </c>
      <c r="B14" s="15" t="s">
        <v>56</v>
      </c>
      <c r="C14" s="15" t="s">
        <v>63</v>
      </c>
      <c r="D14" s="15" t="s">
        <v>64</v>
      </c>
      <c r="E14" s="16">
        <v>2.0</v>
      </c>
      <c r="F14" s="17" t="s">
        <v>34</v>
      </c>
      <c r="G14" s="15" t="s">
        <v>65</v>
      </c>
      <c r="H14" s="15" t="s">
        <v>36</v>
      </c>
    </row>
    <row r="15" ht="42.0" customHeight="1">
      <c r="A15" s="18">
        <v>12.0</v>
      </c>
      <c r="B15" s="23"/>
      <c r="C15" s="19"/>
      <c r="D15" s="19"/>
      <c r="E15" s="21"/>
      <c r="F15" s="23"/>
      <c r="G15" s="19"/>
      <c r="H15" s="23"/>
    </row>
    <row r="16" ht="42.0" customHeight="1">
      <c r="A16" s="14">
        <v>13.0</v>
      </c>
      <c r="B16" s="24"/>
      <c r="C16" s="24"/>
      <c r="D16" s="24"/>
      <c r="E16" s="25"/>
      <c r="F16" s="24"/>
      <c r="G16" s="24"/>
      <c r="H16" s="24"/>
    </row>
    <row r="17" ht="42.0" customHeight="1">
      <c r="A17" s="18">
        <v>14.0</v>
      </c>
      <c r="B17" s="23"/>
      <c r="C17" s="23"/>
      <c r="D17" s="23"/>
      <c r="E17" s="26"/>
      <c r="F17" s="23"/>
      <c r="G17" s="23"/>
      <c r="H17" s="23"/>
    </row>
    <row r="18" ht="42.0" customHeight="1">
      <c r="A18" s="14">
        <v>15.0</v>
      </c>
      <c r="B18" s="24"/>
      <c r="C18" s="24"/>
      <c r="D18" s="24"/>
      <c r="E18" s="25"/>
      <c r="F18" s="24"/>
      <c r="G18" s="24"/>
      <c r="H18" s="24"/>
    </row>
    <row r="19" ht="42.0" customHeight="1">
      <c r="A19" s="18">
        <v>16.0</v>
      </c>
      <c r="B19" s="23"/>
      <c r="C19" s="23"/>
      <c r="D19" s="23"/>
      <c r="E19" s="26"/>
      <c r="F19" s="23"/>
      <c r="G19" s="23"/>
      <c r="H19" s="23"/>
    </row>
    <row r="20" ht="42.0" customHeight="1">
      <c r="A20" s="14">
        <v>17.0</v>
      </c>
      <c r="B20" s="24"/>
      <c r="C20" s="24"/>
      <c r="D20" s="24"/>
      <c r="E20" s="25"/>
      <c r="F20" s="24"/>
      <c r="G20" s="24"/>
      <c r="H20" s="24"/>
    </row>
    <row r="21" ht="42.0" customHeight="1">
      <c r="A21" s="18">
        <v>18.0</v>
      </c>
      <c r="B21" s="23"/>
      <c r="C21" s="23"/>
      <c r="D21" s="23"/>
      <c r="E21" s="26"/>
      <c r="F21" s="23"/>
      <c r="G21" s="23"/>
      <c r="H21" s="23"/>
    </row>
    <row r="22" ht="42.0" customHeight="1">
      <c r="A22" s="14">
        <v>19.0</v>
      </c>
      <c r="B22" s="24"/>
      <c r="C22" s="24"/>
      <c r="D22" s="24"/>
      <c r="E22" s="25"/>
      <c r="F22" s="24"/>
      <c r="G22" s="24"/>
      <c r="H22" s="24"/>
    </row>
    <row r="23" ht="42.0" customHeight="1">
      <c r="A23" s="18">
        <v>20.0</v>
      </c>
      <c r="B23" s="23"/>
      <c r="C23" s="23"/>
      <c r="D23" s="23"/>
      <c r="E23" s="26"/>
      <c r="F23" s="23"/>
      <c r="G23" s="23"/>
      <c r="H23" s="23"/>
    </row>
    <row r="24" ht="42.0" customHeight="1">
      <c r="A24" s="14">
        <v>21.0</v>
      </c>
      <c r="B24" s="24"/>
      <c r="C24" s="24"/>
      <c r="D24" s="24"/>
      <c r="E24" s="25"/>
      <c r="F24" s="24"/>
      <c r="G24" s="24"/>
      <c r="H24" s="24"/>
    </row>
    <row r="25" ht="42.0" customHeight="1">
      <c r="A25" s="18">
        <v>22.0</v>
      </c>
      <c r="B25" s="23"/>
      <c r="C25" s="23"/>
      <c r="D25" s="23"/>
      <c r="E25" s="26"/>
      <c r="F25" s="23"/>
      <c r="G25" s="23"/>
      <c r="H25" s="23"/>
    </row>
    <row r="26" ht="42.0" customHeight="1">
      <c r="A26" s="14">
        <v>23.0</v>
      </c>
      <c r="B26" s="24"/>
      <c r="C26" s="24"/>
      <c r="D26" s="24"/>
      <c r="E26" s="25"/>
      <c r="F26" s="24"/>
      <c r="G26" s="24"/>
      <c r="H26" s="24"/>
    </row>
    <row r="27" ht="42.0" customHeight="1">
      <c r="A27" s="18">
        <v>24.0</v>
      </c>
      <c r="B27" s="23"/>
      <c r="C27" s="23"/>
      <c r="D27" s="23"/>
      <c r="E27" s="26"/>
      <c r="F27" s="23"/>
      <c r="G27" s="23"/>
      <c r="H27" s="23"/>
    </row>
    <row r="28" ht="42.0" customHeight="1">
      <c r="A28" s="14">
        <v>25.0</v>
      </c>
      <c r="B28" s="24"/>
      <c r="C28" s="24"/>
      <c r="D28" s="24"/>
      <c r="E28" s="25"/>
      <c r="F28" s="24"/>
      <c r="G28" s="24"/>
      <c r="H28" s="2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Haz clic e introduce un valor del intervalo" sqref="B4:B28">
      <formula1>'Hoja 1'!$A$1:$A$10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</hyperlinks>
  <printOptions/>
  <pageMargins bottom="1.0" footer="0.0" header="0.0" left="0.75" right="0.75" top="1.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86"/>
  </cols>
  <sheetData>
    <row r="1" ht="31.5" customHeight="1">
      <c r="B1" s="11" t="s">
        <v>66</v>
      </c>
      <c r="C1" s="2"/>
      <c r="D1" s="2"/>
      <c r="E1" s="2"/>
      <c r="F1" s="2"/>
      <c r="G1" s="3"/>
    </row>
    <row r="2" ht="15.75" customHeight="1">
      <c r="B2" s="12" t="s">
        <v>67</v>
      </c>
      <c r="C2" s="2"/>
      <c r="D2" s="2"/>
      <c r="E2" s="2"/>
      <c r="F2" s="2"/>
      <c r="G2" s="3"/>
    </row>
    <row r="4" ht="18.0" customHeight="1">
      <c r="B4" s="27" t="s">
        <v>68</v>
      </c>
      <c r="C4" s="2"/>
      <c r="D4" s="2"/>
      <c r="E4" s="2"/>
      <c r="F4" s="2"/>
      <c r="G4" s="3"/>
    </row>
    <row r="5" ht="21.75" customHeight="1">
      <c r="B5" s="28" t="s">
        <v>69</v>
      </c>
      <c r="C5" s="29">
        <f>COUNTA(Evaluacion!C4:C28)</f>
        <v>11</v>
      </c>
      <c r="D5" s="7"/>
    </row>
    <row r="6" ht="21.75" customHeight="1">
      <c r="B6" s="28" t="s">
        <v>70</v>
      </c>
      <c r="C6" s="30">
        <f>IFERROR(AVERAGE(Evaluacion!E4:E28),0)</f>
        <v>2.909090909</v>
      </c>
      <c r="D6" s="7"/>
    </row>
    <row r="7" ht="21.75" customHeight="1">
      <c r="B7" s="28" t="s">
        <v>71</v>
      </c>
      <c r="C7" s="29">
        <f>COUNTIF(Evaluacion!E4:E28,4)</f>
        <v>3</v>
      </c>
      <c r="D7" s="7"/>
    </row>
    <row r="8" ht="21.75" customHeight="1">
      <c r="B8" s="28" t="s">
        <v>72</v>
      </c>
      <c r="C8" s="29">
        <f>COUNTIF(Evaluacion!E4:E28,3)</f>
        <v>4</v>
      </c>
      <c r="D8" s="7"/>
    </row>
    <row r="9" ht="21.75" customHeight="1">
      <c r="B9" s="28" t="s">
        <v>73</v>
      </c>
      <c r="C9" s="29">
        <f>COUNTIFS(Evaluacion!E4:E28,"&gt;=1",Evaluacion!E4:E28,"&lt;=2")</f>
        <v>4</v>
      </c>
      <c r="D9" s="7"/>
    </row>
    <row r="11" ht="18.0" customHeight="1">
      <c r="B11" s="31" t="s">
        <v>74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75</v>
      </c>
      <c r="D12" s="13" t="s">
        <v>76</v>
      </c>
      <c r="E12" s="13" t="s">
        <v>77</v>
      </c>
      <c r="F12" s="13" t="s">
        <v>78</v>
      </c>
      <c r="G12" s="13" t="s">
        <v>79</v>
      </c>
    </row>
    <row r="13" ht="19.5" customHeight="1">
      <c r="B13" s="32" t="s">
        <v>56</v>
      </c>
      <c r="C13" s="33">
        <f>COUNTIF(Evaluacion!B4:B28,"*H1*")</f>
        <v>3</v>
      </c>
      <c r="D13" s="33">
        <f>IFERROR(_xludf.MAXIFS(Evaluacion!E4:E28,Evaluacion!B4:B28,"*H1*"),0)</f>
        <v>0</v>
      </c>
      <c r="E13" s="34">
        <f>IFERROR(AVERAGEIF(Evaluacion!B4:B28,"*H1*",Evaluacion!E4:E28),0)</f>
        <v>2</v>
      </c>
      <c r="F13" s="35" t="str">
        <f t="shared" ref="F13:F22" si="1">IF(C13=0,"Sin problemas",IF(D13&gt;=4,"CRITICO",IF(D13&gt;=3,"MAYOR","MENOR")))</f>
        <v>MENOR</v>
      </c>
      <c r="G13" s="35" t="str">
        <f t="shared" ref="G13:G22" si="2">IF(C13=0,"Sin problemas",IF(D13=4,"1 - Inmediata",IF(D13=3,"2 - Alta",IF(D13=2,"3 - Media","4 - Baja"))))</f>
        <v>4 - Baja</v>
      </c>
    </row>
    <row r="14" ht="19.5" customHeight="1">
      <c r="B14" s="36" t="s">
        <v>80</v>
      </c>
      <c r="C14" s="37">
        <f>COUNTIF(Evaluacion!B4:B28,"*H2*")</f>
        <v>0</v>
      </c>
      <c r="D14" s="37">
        <f>IFERROR(_xludf.MAXIFS(Evaluacion!E4:E28,Evaluacion!B4:B28,"*H2*"),0)</f>
        <v>0</v>
      </c>
      <c r="E14" s="38">
        <f>IFERROR(AVERAGEIF(Evaluacion!B4:B28,"*H2*",Evaluacion!E4:E28),0)</f>
        <v>0</v>
      </c>
      <c r="F14" s="39" t="str">
        <f t="shared" si="1"/>
        <v>Sin problemas</v>
      </c>
      <c r="G14" s="39" t="str">
        <f t="shared" si="2"/>
        <v>Sin problemas</v>
      </c>
    </row>
    <row r="15" ht="19.5" customHeight="1">
      <c r="B15" s="32" t="s">
        <v>52</v>
      </c>
      <c r="C15" s="33">
        <f>COUNTIF(Evaluacion!B4:B28,"*H3*")</f>
        <v>1</v>
      </c>
      <c r="D15" s="33">
        <f>IFERROR(_xludf.MAXIFS(Evaluacion!E4:E28,Evaluacion!B4:B28,"*H3*"),0)</f>
        <v>0</v>
      </c>
      <c r="E15" s="34">
        <f>IFERROR(AVERAGEIF(Evaluacion!B4:B28,"*H3*",Evaluacion!E4:E28),0)</f>
        <v>2</v>
      </c>
      <c r="F15" s="35" t="str">
        <f t="shared" si="1"/>
        <v>MENOR</v>
      </c>
      <c r="G15" s="35" t="str">
        <f t="shared" si="2"/>
        <v>4 - Baja</v>
      </c>
    </row>
    <row r="16" ht="19.5" customHeight="1">
      <c r="B16" s="36" t="s">
        <v>81</v>
      </c>
      <c r="C16" s="37">
        <f>COUNTIF(Evaluacion!B4:B28,"*H4*")</f>
        <v>0</v>
      </c>
      <c r="D16" s="37">
        <f>IFERROR(_xludf.MAXIFS(Evaluacion!E4:E28,Evaluacion!B4:B28,"*H4*"),0)</f>
        <v>0</v>
      </c>
      <c r="E16" s="38">
        <f>IFERROR(AVERAGEIF(Evaluacion!B4:B28,"*H4*",Evaluacion!E4:E28),0)</f>
        <v>0</v>
      </c>
      <c r="F16" s="39" t="str">
        <f t="shared" si="1"/>
        <v>Sin problemas</v>
      </c>
      <c r="G16" s="39" t="str">
        <f t="shared" si="2"/>
        <v>Sin problemas</v>
      </c>
    </row>
    <row r="17" ht="19.5" customHeight="1">
      <c r="B17" s="32" t="s">
        <v>31</v>
      </c>
      <c r="C17" s="33">
        <f>COUNTIF(Evaluacion!B4:B28,"*H5*")</f>
        <v>7</v>
      </c>
      <c r="D17" s="33">
        <f>IFERROR(_xludf.MAXIFS(Evaluacion!E4:E28,Evaluacion!B4:B28,"*H5*"),0)</f>
        <v>0</v>
      </c>
      <c r="E17" s="34">
        <f>IFERROR(AVERAGEIF(Evaluacion!B4:B28,"*H5*",Evaluacion!E4:E28),0)</f>
        <v>3.428571429</v>
      </c>
      <c r="F17" s="35" t="str">
        <f t="shared" si="1"/>
        <v>MENOR</v>
      </c>
      <c r="G17" s="35" t="str">
        <f t="shared" si="2"/>
        <v>4 - Baja</v>
      </c>
    </row>
    <row r="18" ht="19.5" customHeight="1">
      <c r="B18" s="36" t="s">
        <v>82</v>
      </c>
      <c r="C18" s="37">
        <f>COUNTIF(Evaluacion!B4:B28,"*H6*")</f>
        <v>0</v>
      </c>
      <c r="D18" s="37">
        <f>IFERROR(_xludf.MAXIFS(Evaluacion!E4:E28,Evaluacion!B4:B28,"*H6*"),0)</f>
        <v>0</v>
      </c>
      <c r="E18" s="38">
        <f>IFERROR(AVERAGEIF(Evaluacion!B4:B28,"*H6*",Evaluacion!E4:E28),0)</f>
        <v>0</v>
      </c>
      <c r="F18" s="39" t="str">
        <f t="shared" si="1"/>
        <v>Sin problemas</v>
      </c>
      <c r="G18" s="39" t="str">
        <f t="shared" si="2"/>
        <v>Sin problemas</v>
      </c>
    </row>
    <row r="19" ht="19.5" customHeight="1">
      <c r="B19" s="32" t="s">
        <v>83</v>
      </c>
      <c r="C19" s="33">
        <f>COUNTIF(Evaluacion!B4:B28,"*H7*")</f>
        <v>0</v>
      </c>
      <c r="D19" s="33">
        <f>IFERROR(_xludf.MAXIFS(Evaluacion!E4:E28,Evaluacion!B4:B28,"*H7*"),0)</f>
        <v>0</v>
      </c>
      <c r="E19" s="34">
        <f>IFERROR(AVERAGEIF(Evaluacion!B4:B28,"*H7*",Evaluacion!E4:E28),0)</f>
        <v>0</v>
      </c>
      <c r="F19" s="35" t="str">
        <f t="shared" si="1"/>
        <v>Sin problemas</v>
      </c>
      <c r="G19" s="35" t="str">
        <f t="shared" si="2"/>
        <v>Sin problemas</v>
      </c>
    </row>
    <row r="20" ht="19.5" customHeight="1">
      <c r="B20" s="36" t="s">
        <v>84</v>
      </c>
      <c r="C20" s="37">
        <f>COUNTIF(Evaluacion!B4:B28,"*H8*")</f>
        <v>0</v>
      </c>
      <c r="D20" s="37">
        <f>IFERROR(_xludf.MAXIFS(Evaluacion!E4:E28,Evaluacion!B4:B28,"*H8*"),0)</f>
        <v>0</v>
      </c>
      <c r="E20" s="38">
        <f>IFERROR(AVERAGEIF(Evaluacion!B4:B28,"*H8*",Evaluacion!E4:E28),0)</f>
        <v>0</v>
      </c>
      <c r="F20" s="39" t="str">
        <f t="shared" si="1"/>
        <v>Sin problemas</v>
      </c>
      <c r="G20" s="39" t="str">
        <f t="shared" si="2"/>
        <v>Sin problemas</v>
      </c>
    </row>
    <row r="21" ht="19.5" customHeight="1">
      <c r="B21" s="32" t="s">
        <v>85</v>
      </c>
      <c r="C21" s="33">
        <f>COUNTIF(Evaluacion!B4:B28,"*H9*")</f>
        <v>0</v>
      </c>
      <c r="D21" s="33">
        <f>IFERROR(_xludf.MAXIFS(Evaluacion!E4:E28,Evaluacion!B4:B28,"*H9*"),0)</f>
        <v>0</v>
      </c>
      <c r="E21" s="34">
        <f>IFERROR(AVERAGEIF(Evaluacion!B4:B28,"*H9*",Evaluacion!E4:E28),0)</f>
        <v>0</v>
      </c>
      <c r="F21" s="35" t="str">
        <f t="shared" si="1"/>
        <v>Sin problemas</v>
      </c>
      <c r="G21" s="35" t="str">
        <f t="shared" si="2"/>
        <v>Sin problemas</v>
      </c>
    </row>
    <row r="22" ht="19.5" customHeight="1">
      <c r="B22" s="36" t="s">
        <v>86</v>
      </c>
      <c r="C22" s="37">
        <f>COUNTIF(Evaluacion!B4:B28,"*H10*")</f>
        <v>0</v>
      </c>
      <c r="D22" s="37">
        <f>IFERROR(_xludf.MAXIFS(Evaluacion!E4:E28,Evaluacion!B4:B28,"*H10*"),0)</f>
        <v>0</v>
      </c>
      <c r="E22" s="38">
        <f>IFERROR(AVERAGEIF(Evaluacion!B4:B28,"*H10*",Evaluacion!E4:E28),0)</f>
        <v>0</v>
      </c>
      <c r="F22" s="39" t="str">
        <f t="shared" si="1"/>
        <v>Sin problemas</v>
      </c>
      <c r="G22" s="39" t="str">
        <f t="shared" si="2"/>
        <v>Sin problemas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86"/>
  </cols>
  <sheetData>
    <row r="1" ht="31.5" customHeight="1">
      <c r="B1" s="11" t="s">
        <v>87</v>
      </c>
      <c r="C1" s="2"/>
      <c r="D1" s="2"/>
      <c r="E1" s="2"/>
      <c r="F1" s="3"/>
    </row>
    <row r="2" ht="15.75" customHeight="1">
      <c r="B2" s="12" t="s">
        <v>88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89</v>
      </c>
      <c r="E3" s="13" t="s">
        <v>90</v>
      </c>
      <c r="F3" s="13" t="s">
        <v>91</v>
      </c>
    </row>
    <row r="4" ht="57.75" customHeight="1">
      <c r="B4" s="40" t="s">
        <v>92</v>
      </c>
      <c r="C4" s="41" t="s">
        <v>93</v>
      </c>
      <c r="D4" s="42" t="s">
        <v>94</v>
      </c>
      <c r="E4" s="42" t="s">
        <v>95</v>
      </c>
      <c r="F4" s="42" t="s">
        <v>96</v>
      </c>
    </row>
    <row r="5" ht="57.75" customHeight="1">
      <c r="B5" s="40" t="s">
        <v>97</v>
      </c>
      <c r="C5" s="41" t="s">
        <v>98</v>
      </c>
      <c r="D5" s="42" t="s">
        <v>99</v>
      </c>
      <c r="E5" s="42" t="s">
        <v>100</v>
      </c>
      <c r="F5" s="42" t="s">
        <v>101</v>
      </c>
    </row>
    <row r="6" ht="57.75" customHeight="1">
      <c r="B6" s="40" t="s">
        <v>102</v>
      </c>
      <c r="C6" s="41" t="s">
        <v>103</v>
      </c>
      <c r="D6" s="42" t="s">
        <v>104</v>
      </c>
      <c r="E6" s="42" t="s">
        <v>105</v>
      </c>
      <c r="F6" s="42" t="s">
        <v>106</v>
      </c>
    </row>
    <row r="7" ht="57.75" customHeight="1">
      <c r="B7" s="40" t="s">
        <v>107</v>
      </c>
      <c r="C7" s="41" t="s">
        <v>108</v>
      </c>
      <c r="D7" s="42" t="s">
        <v>109</v>
      </c>
      <c r="E7" s="42" t="s">
        <v>110</v>
      </c>
      <c r="F7" s="42" t="s">
        <v>111</v>
      </c>
    </row>
    <row r="8" ht="57.75" customHeight="1">
      <c r="B8" s="40" t="s">
        <v>112</v>
      </c>
      <c r="C8" s="41" t="s">
        <v>113</v>
      </c>
      <c r="D8" s="42" t="s">
        <v>114</v>
      </c>
      <c r="E8" s="42" t="s">
        <v>115</v>
      </c>
      <c r="F8" s="42" t="s">
        <v>116</v>
      </c>
    </row>
    <row r="9" ht="57.75" customHeight="1">
      <c r="B9" s="40" t="s">
        <v>117</v>
      </c>
      <c r="C9" s="41" t="s">
        <v>118</v>
      </c>
      <c r="D9" s="42" t="s">
        <v>119</v>
      </c>
      <c r="E9" s="42" t="s">
        <v>120</v>
      </c>
      <c r="F9" s="42" t="s">
        <v>121</v>
      </c>
    </row>
    <row r="10" ht="57.75" customHeight="1">
      <c r="B10" s="40" t="s">
        <v>122</v>
      </c>
      <c r="C10" s="41" t="s">
        <v>123</v>
      </c>
      <c r="D10" s="42" t="s">
        <v>124</v>
      </c>
      <c r="E10" s="42" t="s">
        <v>125</v>
      </c>
      <c r="F10" s="42" t="s">
        <v>126</v>
      </c>
    </row>
    <row r="11" ht="57.75" customHeight="1">
      <c r="B11" s="40" t="s">
        <v>127</v>
      </c>
      <c r="C11" s="41" t="s">
        <v>128</v>
      </c>
      <c r="D11" s="42" t="s">
        <v>129</v>
      </c>
      <c r="E11" s="42" t="s">
        <v>130</v>
      </c>
      <c r="F11" s="42" t="s">
        <v>131</v>
      </c>
    </row>
    <row r="12" ht="57.75" customHeight="1">
      <c r="B12" s="40" t="s">
        <v>132</v>
      </c>
      <c r="C12" s="41" t="s">
        <v>133</v>
      </c>
      <c r="D12" s="42" t="s">
        <v>134</v>
      </c>
      <c r="E12" s="42" t="s">
        <v>135</v>
      </c>
      <c r="F12" s="42" t="s">
        <v>136</v>
      </c>
    </row>
    <row r="13" ht="57.75" customHeight="1">
      <c r="B13" s="40" t="s">
        <v>137</v>
      </c>
      <c r="C13" s="41" t="s">
        <v>138</v>
      </c>
      <c r="D13" s="42" t="s">
        <v>139</v>
      </c>
      <c r="E13" s="42" t="s">
        <v>140</v>
      </c>
      <c r="F13" s="42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0"/>
  </cols>
  <sheetData>
    <row r="1">
      <c r="A1" s="43" t="s">
        <v>56</v>
      </c>
    </row>
    <row r="2">
      <c r="A2" s="43" t="s">
        <v>80</v>
      </c>
    </row>
    <row r="3">
      <c r="A3" s="43" t="s">
        <v>52</v>
      </c>
    </row>
    <row r="4">
      <c r="A4" s="43" t="s">
        <v>81</v>
      </c>
    </row>
    <row r="5">
      <c r="A5" s="43" t="s">
        <v>31</v>
      </c>
    </row>
    <row r="6">
      <c r="A6" s="43" t="s">
        <v>82</v>
      </c>
    </row>
    <row r="7">
      <c r="A7" s="43" t="s">
        <v>83</v>
      </c>
    </row>
    <row r="8">
      <c r="A8" s="43" t="s">
        <v>142</v>
      </c>
    </row>
    <row r="9">
      <c r="A9" s="43" t="s">
        <v>85</v>
      </c>
    </row>
    <row r="10">
      <c r="A10" s="43" t="s">
        <v>86</v>
      </c>
    </row>
  </sheetData>
  <drawing r:id="rId1"/>
</worksheet>
</file>